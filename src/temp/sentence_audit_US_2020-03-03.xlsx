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es" sheetId="1" state="visible" r:id="rId1"/>
    <sheet name="Document scores"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s>
  <sheetData>
    <row r="1">
      <c r="A1" s="1" t="inlineStr">
        <is>
          <t>Sentence</t>
        </is>
      </c>
      <c r="B1" s="1" t="inlineStr">
        <is>
          <t>Text</t>
        </is>
      </c>
      <c r="C1" s="1" t="inlineStr">
        <is>
          <t>Correa +words</t>
        </is>
      </c>
      <c r="D1" s="1" t="inlineStr">
        <is>
          <t>Correa -words</t>
        </is>
      </c>
      <c r="E1" s="1" t="inlineStr">
        <is>
          <t>Correa P</t>
        </is>
      </c>
      <c r="F1" s="1" t="inlineStr">
        <is>
          <t>Correa N</t>
        </is>
      </c>
      <c r="G1" s="1" t="inlineStr">
        <is>
          <t>Hubert-Labondance +words</t>
        </is>
      </c>
      <c r="H1" s="1" t="inlineStr">
        <is>
          <t>Hubert-Labondance -words</t>
        </is>
      </c>
      <c r="I1" s="1" t="inlineStr">
        <is>
          <t>Hubert-Labondance P</t>
        </is>
      </c>
      <c r="J1" s="1" t="inlineStr">
        <is>
          <t>Hubert-Labondance N</t>
        </is>
      </c>
      <c r="K1" s="1" t="inlineStr">
        <is>
          <t>Loughran-McDonald +words</t>
        </is>
      </c>
      <c r="L1" s="1" t="inlineStr">
        <is>
          <t>Loughran-McDonald -words</t>
        </is>
      </c>
      <c r="M1" s="1" t="inlineStr">
        <is>
          <t>Loughran-McDonald P</t>
        </is>
      </c>
      <c r="N1" s="1" t="inlineStr">
        <is>
          <t>Loughran-McDonald N</t>
        </is>
      </c>
      <c r="O1" s="1" t="inlineStr">
        <is>
          <t>General Inquirer +words</t>
        </is>
      </c>
      <c r="P1" s="1" t="inlineStr">
        <is>
          <t>General Inquirer -words</t>
        </is>
      </c>
      <c r="Q1" s="1" t="inlineStr">
        <is>
          <t>General Inquirer P</t>
        </is>
      </c>
      <c r="R1" s="1" t="inlineStr">
        <is>
          <t>General Inquirer N</t>
        </is>
      </c>
      <c r="S1" s="1" t="inlineStr">
        <is>
          <t>Bennani-Neuenkirch +words</t>
        </is>
      </c>
      <c r="T1" s="1" t="inlineStr">
        <is>
          <t>Bennani-Neuenkirch -words</t>
        </is>
      </c>
      <c r="U1" s="1" t="inlineStr">
        <is>
          <t>Bennani-Neuenkirch P</t>
        </is>
      </c>
      <c r="V1" s="1" t="inlineStr">
        <is>
          <t>Bennani-Neuenkirch N</t>
        </is>
      </c>
      <c r="W1" s="1" t="inlineStr">
        <is>
          <t>Apel-Blix Grimaldi +words</t>
        </is>
      </c>
      <c r="X1" s="1" t="inlineStr">
        <is>
          <t>Apel-Blix Grimaldi -words</t>
        </is>
      </c>
      <c r="Y1" s="1" t="inlineStr">
        <is>
          <t>Apel-Blix Grimaldi P</t>
        </is>
      </c>
      <c r="Z1" s="1" t="inlineStr">
        <is>
          <t>Apel-Blix Grimaldi N</t>
        </is>
      </c>
      <c r="AA1" s="1" t="inlineStr">
        <is>
          <t>CentralBankRoBERTa p(positive=+1)</t>
        </is>
      </c>
      <c r="AB1" s="1" t="inlineStr">
        <is>
          <t>CentralBankRoBERTa p(negative=-1)</t>
        </is>
      </c>
      <c r="AC1" s="1" t="inlineStr">
        <is>
          <t>CentralBankRoBERTa class (p&gt;=0.7)</t>
        </is>
      </c>
      <c r="AD1" s="1" t="inlineStr">
        <is>
          <t>CentralBankRoBERTa d</t>
        </is>
      </c>
      <c r="AE1" s="1" t="inlineStr">
        <is>
          <t>FinBERT p(positive=+1)</t>
        </is>
      </c>
      <c r="AF1" s="1" t="inlineStr">
        <is>
          <t>FinBERT p(neutral=0)</t>
        </is>
      </c>
      <c r="AG1" s="1" t="inlineStr">
        <is>
          <t>FinBERT p(negative=-1)</t>
        </is>
      </c>
      <c r="AH1" s="1" t="inlineStr">
        <is>
          <t>FinBERT class (p&gt;=0.7)</t>
        </is>
      </c>
      <c r="AI1" s="1" t="inlineStr">
        <is>
          <t>FinBERT d</t>
        </is>
      </c>
      <c r="AJ1" s="1" t="inlineStr">
        <is>
          <t>FOMC-RoBERTa p(LABEL_0=-1)</t>
        </is>
      </c>
      <c r="AK1" s="1" t="inlineStr">
        <is>
          <t>FOMC-RoBERTa p(LABEL_1=+1)</t>
        </is>
      </c>
      <c r="AL1" s="1" t="inlineStr">
        <is>
          <t>FOMC-RoBERTa p(LABEL_2=0)</t>
        </is>
      </c>
      <c r="AM1" s="1" t="inlineStr">
        <is>
          <t>FOMC-RoBERTa class (p&gt;=0.7)</t>
        </is>
      </c>
      <c r="AN1" s="1" t="inlineStr">
        <is>
          <t>FOMC-RoBERTa d</t>
        </is>
      </c>
    </row>
    <row r="2">
      <c r="A2" t="n">
        <v>1</v>
      </c>
      <c r="B2" s="2" t="inlineStr">
        <is>
          <t>Federal Reserve issues FOMC statement For release at 10:00 a. m. EST Share The fundamentals of the U. S. economy remain strong.</t>
        </is>
      </c>
      <c r="C2" t="inlineStr"/>
      <c r="D2" t="inlineStr"/>
      <c r="E2" t="n">
        <v>0</v>
      </c>
      <c r="F2" t="n">
        <v>0</v>
      </c>
      <c r="G2" t="inlineStr">
        <is>
          <t>strong</t>
        </is>
      </c>
      <c r="H2" t="inlineStr"/>
      <c r="I2" t="n">
        <v>1</v>
      </c>
      <c r="J2" t="n">
        <v>0</v>
      </c>
      <c r="K2" t="inlineStr">
        <is>
          <t>strong</t>
        </is>
      </c>
      <c r="L2" t="inlineStr"/>
      <c r="M2" t="n">
        <v>1</v>
      </c>
      <c r="N2" t="n">
        <v>0</v>
      </c>
      <c r="O2" t="inlineStr"/>
      <c r="P2" t="inlineStr"/>
      <c r="Q2" t="n">
        <v>0</v>
      </c>
      <c r="R2" t="n">
        <v>0</v>
      </c>
      <c r="S2" t="inlineStr">
        <is>
          <t>strong</t>
        </is>
      </c>
      <c r="T2" t="inlineStr"/>
      <c r="U2" t="n">
        <v>1</v>
      </c>
      <c r="V2" t="n">
        <v>0</v>
      </c>
      <c r="W2" t="inlineStr">
        <is>
          <t>strong</t>
        </is>
      </c>
      <c r="X2" t="inlineStr"/>
      <c r="Y2" t="n">
        <v>1</v>
      </c>
      <c r="Z2" t="n">
        <v>0</v>
      </c>
      <c r="AA2" t="n">
        <v>0.7227</v>
      </c>
      <c r="AB2" t="n">
        <v>0.2773</v>
      </c>
      <c r="AC2" t="inlineStr">
        <is>
          <t>positive</t>
        </is>
      </c>
      <c r="AD2" t="n">
        <v>1</v>
      </c>
      <c r="AE2" t="n">
        <v>0.9262</v>
      </c>
      <c r="AF2" t="n">
        <v>0.0405</v>
      </c>
      <c r="AG2" t="n">
        <v>0.0334</v>
      </c>
      <c r="AH2" t="inlineStr">
        <is>
          <t>positive</t>
        </is>
      </c>
      <c r="AI2" t="n">
        <v>1</v>
      </c>
      <c r="AJ2" t="n">
        <v>0.0008</v>
      </c>
      <c r="AK2" t="n">
        <v>0.06759999999999999</v>
      </c>
      <c r="AL2" t="n">
        <v>0.9317</v>
      </c>
      <c r="AM2" t="inlineStr">
        <is>
          <t>LABEL_2</t>
        </is>
      </c>
      <c r="AN2" t="n">
        <v>0</v>
      </c>
    </row>
    <row r="3">
      <c r="A3" t="n">
        <v>2</v>
      </c>
      <c r="B3" s="2" t="inlineStr">
        <is>
          <t>However, the coronavirus poses evolving risks to economic activity.</t>
        </is>
      </c>
      <c r="C3" t="inlineStr"/>
      <c r="D3" t="inlineStr">
        <is>
          <t>poses</t>
        </is>
      </c>
      <c r="E3" t="n">
        <v>0</v>
      </c>
      <c r="F3" t="n">
        <v>1</v>
      </c>
      <c r="G3" t="inlineStr"/>
      <c r="H3" t="inlineStr"/>
      <c r="I3" t="n">
        <v>0</v>
      </c>
      <c r="J3" t="n">
        <v>0</v>
      </c>
      <c r="K3" t="inlineStr"/>
      <c r="L3" t="inlineStr">
        <is>
          <t>poses</t>
        </is>
      </c>
      <c r="M3" t="n">
        <v>0</v>
      </c>
      <c r="N3" t="n">
        <v>1</v>
      </c>
      <c r="O3" t="inlineStr"/>
      <c r="P3" t="inlineStr"/>
      <c r="Q3" t="n">
        <v>0</v>
      </c>
      <c r="R3" t="n">
        <v>0</v>
      </c>
      <c r="S3" t="inlineStr"/>
      <c r="T3" t="inlineStr"/>
      <c r="U3" t="n">
        <v>0</v>
      </c>
      <c r="V3" t="n">
        <v>0</v>
      </c>
      <c r="W3" t="inlineStr"/>
      <c r="X3" t="inlineStr"/>
      <c r="Y3" t="n">
        <v>0</v>
      </c>
      <c r="Z3" t="n">
        <v>0</v>
      </c>
      <c r="AA3" t="n">
        <v>0.1411</v>
      </c>
      <c r="AB3" t="n">
        <v>0.8589</v>
      </c>
      <c r="AC3" t="inlineStr">
        <is>
          <t>negative</t>
        </is>
      </c>
      <c r="AD3" t="n">
        <v>-1</v>
      </c>
      <c r="AE3" t="n">
        <v>0.0576</v>
      </c>
      <c r="AF3" t="n">
        <v>0.2267</v>
      </c>
      <c r="AG3" t="n">
        <v>0.7157</v>
      </c>
      <c r="AH3" t="inlineStr">
        <is>
          <t>negative</t>
        </is>
      </c>
      <c r="AI3" t="n">
        <v>-1</v>
      </c>
      <c r="AJ3" t="n">
        <v>0.7593</v>
      </c>
      <c r="AK3" t="n">
        <v>0.0124</v>
      </c>
      <c r="AL3" t="n">
        <v>0.2283</v>
      </c>
      <c r="AM3" t="inlineStr">
        <is>
          <t>LABEL_0</t>
        </is>
      </c>
      <c r="AN3" t="n">
        <v>-1</v>
      </c>
    </row>
    <row r="4">
      <c r="A4" t="n">
        <v>3</v>
      </c>
      <c r="B4" s="2" t="inlineStr">
        <is>
          <t>In light of these risks and in support of achieving its maximum employment and price stability goals, the Federal Open Market Committee decided today to lower the target range for the federal funds rate by.</t>
        </is>
      </c>
      <c r="C4" t="inlineStr"/>
      <c r="D4" t="inlineStr"/>
      <c r="E4" t="n">
        <v>0</v>
      </c>
      <c r="F4" t="n">
        <v>0</v>
      </c>
      <c r="G4" t="inlineStr"/>
      <c r="H4" t="inlineStr">
        <is>
          <t>lower</t>
        </is>
      </c>
      <c r="I4" t="n">
        <v>0</v>
      </c>
      <c r="J4" t="n">
        <v>1</v>
      </c>
      <c r="K4" t="inlineStr">
        <is>
          <t>achieving, stability</t>
        </is>
      </c>
      <c r="L4" t="inlineStr"/>
      <c r="M4" t="n">
        <v>2</v>
      </c>
      <c r="N4" t="n">
        <v>0</v>
      </c>
      <c r="O4" t="inlineStr">
        <is>
          <t>stability</t>
        </is>
      </c>
      <c r="P4" t="inlineStr"/>
      <c r="Q4" t="n">
        <v>1</v>
      </c>
      <c r="R4" t="n">
        <v>0</v>
      </c>
      <c r="S4" t="inlineStr"/>
      <c r="T4" t="inlineStr"/>
      <c r="U4" t="n">
        <v>0</v>
      </c>
      <c r="V4" t="n">
        <v>0</v>
      </c>
      <c r="W4" t="inlineStr"/>
      <c r="X4" t="inlineStr"/>
      <c r="Y4" t="n">
        <v>0</v>
      </c>
      <c r="Z4" t="n">
        <v>0</v>
      </c>
      <c r="AA4" t="n">
        <v>0.4689</v>
      </c>
      <c r="AB4" t="n">
        <v>0.5311</v>
      </c>
      <c r="AC4" t="inlineStr">
        <is>
          <t>none</t>
        </is>
      </c>
      <c r="AD4" t="n">
        <v>0</v>
      </c>
      <c r="AE4" t="n">
        <v>0.0606</v>
      </c>
      <c r="AF4" t="n">
        <v>0.5068</v>
      </c>
      <c r="AG4" t="n">
        <v>0.4326</v>
      </c>
      <c r="AH4" t="inlineStr">
        <is>
          <t>none</t>
        </is>
      </c>
      <c r="AI4" t="n">
        <v>0</v>
      </c>
      <c r="AJ4" t="n">
        <v>0.9957</v>
      </c>
      <c r="AK4" t="n">
        <v>0.0041</v>
      </c>
      <c r="AL4" t="n">
        <v>0.0003</v>
      </c>
      <c r="AM4" t="inlineStr">
        <is>
          <t>LABEL_0</t>
        </is>
      </c>
      <c r="AN4" t="n">
        <v>-1</v>
      </c>
    </row>
    <row r="5">
      <c r="A5" t="n">
        <v>4</v>
      </c>
      <c r="B5" s="2" t="inlineStr">
        <is>
          <t>5% point, to 1 to 1a.</t>
        </is>
      </c>
      <c r="C5" t="inlineStr"/>
      <c r="D5" t="inlineStr"/>
      <c r="E5" t="n">
        <v>0</v>
      </c>
      <c r="F5" t="n">
        <v>0</v>
      </c>
      <c r="G5" t="inlineStr"/>
      <c r="H5" t="inlineStr"/>
      <c r="I5" t="n">
        <v>0</v>
      </c>
      <c r="J5" t="n">
        <v>0</v>
      </c>
      <c r="K5" t="inlineStr"/>
      <c r="L5" t="inlineStr"/>
      <c r="M5" t="n">
        <v>0</v>
      </c>
      <c r="N5" t="n">
        <v>0</v>
      </c>
      <c r="O5" t="inlineStr"/>
      <c r="P5" t="inlineStr"/>
      <c r="Q5" t="n">
        <v>0</v>
      </c>
      <c r="R5" t="n">
        <v>0</v>
      </c>
      <c r="S5" t="inlineStr"/>
      <c r="T5" t="inlineStr"/>
      <c r="U5" t="n">
        <v>0</v>
      </c>
      <c r="V5" t="n">
        <v>0</v>
      </c>
      <c r="W5" t="inlineStr"/>
      <c r="X5" t="inlineStr"/>
      <c r="Y5" t="n">
        <v>0</v>
      </c>
      <c r="Z5" t="n">
        <v>0</v>
      </c>
      <c r="AA5" t="n">
        <v>0.2935</v>
      </c>
      <c r="AB5" t="n">
        <v>0.7065</v>
      </c>
      <c r="AC5" t="inlineStr">
        <is>
          <t>negative</t>
        </is>
      </c>
      <c r="AD5" t="n">
        <v>-1</v>
      </c>
      <c r="AE5" t="n">
        <v>0.8464</v>
      </c>
      <c r="AF5" t="n">
        <v>0.1085</v>
      </c>
      <c r="AG5" t="n">
        <v>0.0451</v>
      </c>
      <c r="AH5" t="inlineStr">
        <is>
          <t>positive</t>
        </is>
      </c>
      <c r="AI5" t="n">
        <v>1</v>
      </c>
      <c r="AJ5" t="n">
        <v>0.0242</v>
      </c>
      <c r="AK5" t="n">
        <v>0.0005</v>
      </c>
      <c r="AL5" t="n">
        <v>0.9754</v>
      </c>
      <c r="AM5" t="inlineStr">
        <is>
          <t>LABEL_2</t>
        </is>
      </c>
      <c r="AN5" t="n">
        <v>0</v>
      </c>
    </row>
    <row r="6">
      <c r="A6" t="n">
        <v>5</v>
      </c>
      <c r="B6" s="2" t="inlineStr">
        <is>
          <t>The Committee is closely monitoring developments and their implications for the economic outlook and will use its tools and act as appropriate to support the economy.</t>
        </is>
      </c>
      <c r="C6" t="inlineStr"/>
      <c r="D6" t="inlineStr"/>
      <c r="E6" t="n">
        <v>0</v>
      </c>
      <c r="F6" t="n">
        <v>0</v>
      </c>
      <c r="G6" t="inlineStr"/>
      <c r="H6" t="inlineStr"/>
      <c r="I6" t="n">
        <v>0</v>
      </c>
      <c r="J6" t="n">
        <v>0</v>
      </c>
      <c r="K6" t="inlineStr"/>
      <c r="L6" t="inlineStr"/>
      <c r="M6" t="n">
        <v>0</v>
      </c>
      <c r="N6" t="n">
        <v>0</v>
      </c>
      <c r="O6" t="inlineStr"/>
      <c r="P6" t="inlineStr"/>
      <c r="Q6" t="n">
        <v>0</v>
      </c>
      <c r="R6" t="n">
        <v>0</v>
      </c>
      <c r="S6" t="inlineStr"/>
      <c r="T6" t="inlineStr"/>
      <c r="U6" t="n">
        <v>0</v>
      </c>
      <c r="V6" t="n">
        <v>0</v>
      </c>
      <c r="W6" t="inlineStr"/>
      <c r="X6" t="inlineStr"/>
      <c r="Y6" t="n">
        <v>0</v>
      </c>
      <c r="Z6" t="n">
        <v>0</v>
      </c>
      <c r="AA6" t="n">
        <v>0.763</v>
      </c>
      <c r="AB6" t="n">
        <v>0.237</v>
      </c>
      <c r="AC6" t="inlineStr">
        <is>
          <t>positive</t>
        </is>
      </c>
      <c r="AD6" t="n">
        <v>1</v>
      </c>
      <c r="AE6" t="n">
        <v>0.3051</v>
      </c>
      <c r="AF6" t="n">
        <v>0.6838</v>
      </c>
      <c r="AG6" t="n">
        <v>0.0111</v>
      </c>
      <c r="AH6" t="inlineStr">
        <is>
          <t>none</t>
        </is>
      </c>
      <c r="AI6" t="n">
        <v>0</v>
      </c>
      <c r="AJ6" t="n">
        <v>0.9984</v>
      </c>
      <c r="AK6" t="n">
        <v>0.0005999999999999999</v>
      </c>
      <c r="AL6" t="n">
        <v>0.001</v>
      </c>
      <c r="AM6" t="inlineStr">
        <is>
          <t>LABEL_0</t>
        </is>
      </c>
      <c r="AN6" t="n">
        <v>-1</v>
      </c>
    </row>
    <row r="7">
      <c r="A7" t="n">
        <v>6</v>
      </c>
      <c r="B7" s="2" t="inlineStr">
        <is>
          <t>Voting for the monetary policy action were Jerome H. Powell, Chair; John C. Williams, Vice Chair; Michelle W. Bowman; Lael Brainard; Richard H. Clarida; Patrick Harker; Robert S. Kaplan; Neel Kashkari; Loretta J. Mester; and Randal K. Quarles.</t>
        </is>
      </c>
      <c r="C7" t="inlineStr"/>
      <c r="D7" t="inlineStr"/>
      <c r="E7" t="n">
        <v>0</v>
      </c>
      <c r="F7" t="n">
        <v>0</v>
      </c>
      <c r="G7" t="inlineStr"/>
      <c r="H7" t="inlineStr"/>
      <c r="I7" t="n">
        <v>0</v>
      </c>
      <c r="J7" t="n">
        <v>0</v>
      </c>
      <c r="K7" t="inlineStr"/>
      <c r="L7" t="inlineStr"/>
      <c r="M7" t="n">
        <v>0</v>
      </c>
      <c r="N7" t="n">
        <v>0</v>
      </c>
      <c r="O7" t="inlineStr"/>
      <c r="P7" t="inlineStr"/>
      <c r="Q7" t="n">
        <v>0</v>
      </c>
      <c r="R7" t="n">
        <v>0</v>
      </c>
      <c r="S7" t="inlineStr"/>
      <c r="T7" t="inlineStr"/>
      <c r="U7" t="n">
        <v>0</v>
      </c>
      <c r="V7" t="n">
        <v>0</v>
      </c>
      <c r="W7" t="inlineStr"/>
      <c r="X7" t="inlineStr"/>
      <c r="Y7" t="n">
        <v>0</v>
      </c>
      <c r="Z7" t="n">
        <v>0</v>
      </c>
      <c r="AA7" t="n">
        <v>0.3617</v>
      </c>
      <c r="AB7" t="n">
        <v>0.6383</v>
      </c>
      <c r="AC7" t="inlineStr">
        <is>
          <t>none</t>
        </is>
      </c>
      <c r="AD7" t="n">
        <v>0</v>
      </c>
      <c r="AE7" t="n">
        <v>0.0314</v>
      </c>
      <c r="AF7" t="n">
        <v>0.8962</v>
      </c>
      <c r="AG7" t="n">
        <v>0.07240000000000001</v>
      </c>
      <c r="AH7" t="inlineStr">
        <is>
          <t>neutral</t>
        </is>
      </c>
      <c r="AI7" t="n">
        <v>0</v>
      </c>
      <c r="AJ7" t="n">
        <v>0.0003</v>
      </c>
      <c r="AK7" t="n">
        <v>0.0003</v>
      </c>
      <c r="AL7" t="n">
        <v>0.9994</v>
      </c>
      <c r="AM7" t="inlineStr">
        <is>
          <t>LABEL_2</t>
        </is>
      </c>
      <c r="AN7" t="n">
        <v>0</v>
      </c>
    </row>
    <row r="8">
      <c r="A8" t="n">
        <v>7</v>
      </c>
      <c r="B8" s="2" t="inlineStr">
        <is>
          <t>For media inquiries, call 202-452-2955.</t>
        </is>
      </c>
      <c r="C8" t="inlineStr"/>
      <c r="D8" t="inlineStr"/>
      <c r="E8" t="n">
        <v>0</v>
      </c>
      <c r="F8" t="n">
        <v>0</v>
      </c>
      <c r="G8" t="inlineStr"/>
      <c r="H8" t="inlineStr"/>
      <c r="I8" t="n">
        <v>0</v>
      </c>
      <c r="J8" t="n">
        <v>0</v>
      </c>
      <c r="K8" t="inlineStr"/>
      <c r="L8" t="inlineStr"/>
      <c r="M8" t="n">
        <v>0</v>
      </c>
      <c r="N8" t="n">
        <v>0</v>
      </c>
      <c r="O8" t="inlineStr"/>
      <c r="P8" t="inlineStr"/>
      <c r="Q8" t="n">
        <v>0</v>
      </c>
      <c r="R8" t="n">
        <v>0</v>
      </c>
      <c r="S8" t="inlineStr"/>
      <c r="T8" t="inlineStr"/>
      <c r="U8" t="n">
        <v>0</v>
      </c>
      <c r="V8" t="n">
        <v>0</v>
      </c>
      <c r="W8" t="inlineStr"/>
      <c r="X8" t="inlineStr"/>
      <c r="Y8" t="n">
        <v>0</v>
      </c>
      <c r="Z8" t="n">
        <v>0</v>
      </c>
      <c r="AA8" t="n">
        <v>0.6865</v>
      </c>
      <c r="AB8" t="n">
        <v>0.3135</v>
      </c>
      <c r="AC8" t="inlineStr">
        <is>
          <t>none</t>
        </is>
      </c>
      <c r="AD8" t="n">
        <v>0</v>
      </c>
      <c r="AE8" t="n">
        <v>0.0252</v>
      </c>
      <c r="AF8" t="n">
        <v>0.9496</v>
      </c>
      <c r="AG8" t="n">
        <v>0.0252</v>
      </c>
      <c r="AH8" t="inlineStr">
        <is>
          <t>neutral</t>
        </is>
      </c>
      <c r="AI8" t="n">
        <v>0</v>
      </c>
      <c r="AJ8" t="n">
        <v>0.0002</v>
      </c>
      <c r="AK8" t="n">
        <v>0.0001</v>
      </c>
      <c r="AL8" t="n">
        <v>0.9997</v>
      </c>
      <c r="AM8" t="inlineStr">
        <is>
          <t>LABEL_2</t>
        </is>
      </c>
      <c r="AN8" t="n">
        <v>0</v>
      </c>
    </row>
    <row r="9">
      <c r="A9" t="n">
        <v>8</v>
      </c>
      <c r="B9" s="2" t="inlineStr">
        <is>
          <t>Implementation Note issued March 3, 2020</t>
        </is>
      </c>
      <c r="C9" t="inlineStr"/>
      <c r="D9" t="inlineStr"/>
      <c r="E9" t="n">
        <v>0</v>
      </c>
      <c r="F9" t="n">
        <v>0</v>
      </c>
      <c r="G9" t="inlineStr"/>
      <c r="H9" t="inlineStr"/>
      <c r="I9" t="n">
        <v>0</v>
      </c>
      <c r="J9" t="n">
        <v>0</v>
      </c>
      <c r="K9" t="inlineStr"/>
      <c r="L9" t="inlineStr"/>
      <c r="M9" t="n">
        <v>0</v>
      </c>
      <c r="N9" t="n">
        <v>0</v>
      </c>
      <c r="O9" t="inlineStr"/>
      <c r="P9" t="inlineStr"/>
      <c r="Q9" t="n">
        <v>0</v>
      </c>
      <c r="R9" t="n">
        <v>0</v>
      </c>
      <c r="S9" t="inlineStr"/>
      <c r="T9" t="inlineStr"/>
      <c r="U9" t="n">
        <v>0</v>
      </c>
      <c r="V9" t="n">
        <v>0</v>
      </c>
      <c r="W9" t="inlineStr"/>
      <c r="X9" t="inlineStr"/>
      <c r="Y9" t="n">
        <v>0</v>
      </c>
      <c r="Z9" t="n">
        <v>0</v>
      </c>
      <c r="AA9" t="n">
        <v>0.3839</v>
      </c>
      <c r="AB9" t="n">
        <v>0.6161</v>
      </c>
      <c r="AC9" t="inlineStr">
        <is>
          <t>none</t>
        </is>
      </c>
      <c r="AD9" t="n">
        <v>0</v>
      </c>
      <c r="AE9" t="n">
        <v>0.0353</v>
      </c>
      <c r="AF9" t="n">
        <v>0.9326</v>
      </c>
      <c r="AG9" t="n">
        <v>0.0322</v>
      </c>
      <c r="AH9" t="inlineStr">
        <is>
          <t>neutral</t>
        </is>
      </c>
      <c r="AI9" t="n">
        <v>0</v>
      </c>
      <c r="AJ9" t="n">
        <v>0.0003</v>
      </c>
      <c r="AK9" t="n">
        <v>0.0002</v>
      </c>
      <c r="AL9" t="n">
        <v>0.9995000000000001</v>
      </c>
      <c r="AM9" t="inlineStr">
        <is>
          <t>LABEL_2</t>
        </is>
      </c>
      <c r="AN9" t="n">
        <v>0</v>
      </c>
    </row>
    <row r="11">
      <c r="A11" s="3" t="inlineStr">
        <is>
          <t>Sum over sentences</t>
        </is>
      </c>
      <c r="E11" s="3">
        <f>SUM(E2:E9)</f>
        <v/>
      </c>
      <c r="F11" s="3">
        <f>SUM(F2:F9)</f>
        <v/>
      </c>
      <c r="I11" s="3">
        <f>SUM(I2:I9)</f>
        <v/>
      </c>
      <c r="J11" s="3">
        <f>SUM(J2:J9)</f>
        <v/>
      </c>
      <c r="M11" s="3">
        <f>SUM(M2:M9)</f>
        <v/>
      </c>
      <c r="N11" s="3">
        <f>SUM(N2:N9)</f>
        <v/>
      </c>
      <c r="Q11" s="3">
        <f>SUM(Q2:Q9)</f>
        <v/>
      </c>
      <c r="R11" s="3">
        <f>SUM(R2:R9)</f>
        <v/>
      </c>
      <c r="U11" s="3">
        <f>SUM(U2:U9)</f>
        <v/>
      </c>
      <c r="V11" s="3">
        <f>SUM(V2:V9)</f>
        <v/>
      </c>
      <c r="Y11" s="3">
        <f>SUM(Y2:Y9)</f>
        <v/>
      </c>
      <c r="Z11" s="3">
        <f>SUM(Z2:Z9)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3" t="inlineStr">
        <is>
          <t>Lexical (whole document, as the package scores it)</t>
        </is>
      </c>
      <c r="B1" s="3" t="n"/>
      <c r="C1" s="3" t="n"/>
      <c r="D1" s="3" t="n"/>
      <c r="E1" s="3" t="n"/>
      <c r="F1" s="3" t="n"/>
      <c r="G1" s="3" t="n"/>
      <c r="H1" s="3" t="n"/>
      <c r="I1" s="3" t="n"/>
      <c r="J1" s="3" t="n"/>
      <c r="K1" s="3" t="n"/>
      <c r="L1" s="3" t="n"/>
    </row>
    <row r="2">
      <c r="A2" s="3" t="inlineStr">
        <is>
          <t>Dictionary</t>
        </is>
      </c>
      <c r="B2" s="3" t="inlineStr">
        <is>
          <t>P (doc)</t>
        </is>
      </c>
      <c r="C2" s="3" t="inlineStr">
        <is>
          <t>N (doc)</t>
        </is>
      </c>
      <c r="D2" s="3" t="inlineStr">
        <is>
          <t>T (tokens)</t>
        </is>
      </c>
      <c r="E2" s="3" t="inlineStr">
        <is>
          <t>PosNeg = (P-N)/(P+N)</t>
        </is>
      </c>
      <c r="F2" s="3" t="inlineStr">
        <is>
          <t>Package PosNeg (stored, 1+...)</t>
        </is>
      </c>
      <c r="G2" s="3" t="inlineStr">
        <is>
          <t>Stored minus 1</t>
        </is>
      </c>
      <c r="H2" s="3" t="inlineStr">
        <is>
          <t>Check</t>
        </is>
      </c>
      <c r="I2" s="3" t="inlineStr">
        <is>
          <t>All-Words = (P-N)/T</t>
        </is>
      </c>
      <c r="J2" s="3" t="inlineStr">
        <is>
          <t>Package All-Words minus 1</t>
        </is>
      </c>
      <c r="K2" s="3" t="inlineStr">
        <is>
          <t>Positive words</t>
        </is>
      </c>
      <c r="L2" s="3" t="inlineStr">
        <is>
          <t>Negative words</t>
        </is>
      </c>
    </row>
    <row r="3">
      <c r="A3" t="inlineStr">
        <is>
          <t>Correa</t>
        </is>
      </c>
      <c r="B3" t="n">
        <v>0</v>
      </c>
      <c r="C3" t="n">
        <v>1</v>
      </c>
      <c r="D3" t="n">
        <v>86</v>
      </c>
      <c r="E3">
        <f>IF(B3+C3=0,0,(B3-C3)/(B3+C3))</f>
        <v/>
      </c>
      <c r="F3" t="n">
        <v>0</v>
      </c>
      <c r="G3">
        <f>F3-1</f>
        <v/>
      </c>
      <c r="H3">
        <f>ROUND(E3-G3,9)=0</f>
        <v/>
      </c>
      <c r="I3">
        <f>(B3-C3)/D3</f>
        <v/>
      </c>
      <c r="J3" t="n">
        <v>-0.01162790697674421</v>
      </c>
      <c r="K3" t="inlineStr"/>
      <c r="L3" t="inlineStr">
        <is>
          <t>poses</t>
        </is>
      </c>
    </row>
    <row r="4">
      <c r="A4" t="inlineStr">
        <is>
          <t>Hubert-Labondance</t>
        </is>
      </c>
      <c r="B4" t="n">
        <v>1</v>
      </c>
      <c r="C4" t="n">
        <v>1</v>
      </c>
      <c r="D4" t="n">
        <v>86</v>
      </c>
      <c r="E4">
        <f>IF(B4+C4=0,0,(B4-C4)/(B4+C4))</f>
        <v/>
      </c>
      <c r="F4" t="n">
        <v>1</v>
      </c>
      <c r="G4">
        <f>F4-1</f>
        <v/>
      </c>
      <c r="H4">
        <f>ROUND(E4-G4,9)=0</f>
        <v/>
      </c>
      <c r="I4">
        <f>(B4-C4)/D4</f>
        <v/>
      </c>
      <c r="J4" t="n">
        <v>0</v>
      </c>
      <c r="K4" t="inlineStr">
        <is>
          <t>strong</t>
        </is>
      </c>
      <c r="L4" t="inlineStr">
        <is>
          <t>lower</t>
        </is>
      </c>
    </row>
    <row r="5">
      <c r="A5" t="inlineStr">
        <is>
          <t>Loughran-McDonald</t>
        </is>
      </c>
      <c r="B5" t="n">
        <v>3</v>
      </c>
      <c r="C5" t="n">
        <v>1</v>
      </c>
      <c r="D5" t="n">
        <v>86</v>
      </c>
      <c r="E5">
        <f>IF(B5+C5=0,0,(B5-C5)/(B5+C5))</f>
        <v/>
      </c>
      <c r="F5" t="n">
        <v>1.5</v>
      </c>
      <c r="G5">
        <f>F5-1</f>
        <v/>
      </c>
      <c r="H5">
        <f>ROUND(E5-G5,9)=0</f>
        <v/>
      </c>
      <c r="I5">
        <f>(B5-C5)/D5</f>
        <v/>
      </c>
      <c r="J5" t="n">
        <v>0.02325581395348841</v>
      </c>
      <c r="K5" t="inlineStr">
        <is>
          <t>strong, achieving, stability</t>
        </is>
      </c>
      <c r="L5" t="inlineStr">
        <is>
          <t>poses</t>
        </is>
      </c>
    </row>
    <row r="6">
      <c r="A6" t="inlineStr">
        <is>
          <t>General Inquirer</t>
        </is>
      </c>
      <c r="B6" t="n">
        <v>1</v>
      </c>
      <c r="C6" t="n">
        <v>0</v>
      </c>
      <c r="D6" t="n">
        <v>86</v>
      </c>
      <c r="E6">
        <f>IF(B6+C6=0,0,(B6-C6)/(B6+C6))</f>
        <v/>
      </c>
      <c r="F6" t="n">
        <v>2</v>
      </c>
      <c r="G6">
        <f>F6-1</f>
        <v/>
      </c>
      <c r="H6">
        <f>ROUND(E6-G6,9)=0</f>
        <v/>
      </c>
      <c r="I6">
        <f>(B6-C6)/D6</f>
        <v/>
      </c>
      <c r="J6" t="n">
        <v>0.01162790697674421</v>
      </c>
      <c r="K6" t="inlineStr">
        <is>
          <t>stability</t>
        </is>
      </c>
      <c r="L6" t="inlineStr"/>
    </row>
    <row r="7">
      <c r="A7" t="inlineStr">
        <is>
          <t>Bennani-Neuenkirch</t>
        </is>
      </c>
      <c r="B7" t="n">
        <v>1</v>
      </c>
      <c r="C7" t="n">
        <v>0</v>
      </c>
      <c r="D7" t="n">
        <v>87</v>
      </c>
      <c r="E7">
        <f>IF(B7+C7=0,0,(B7-C7)/(B7+C7))</f>
        <v/>
      </c>
      <c r="F7" t="n">
        <v>2</v>
      </c>
      <c r="G7">
        <f>F7-1</f>
        <v/>
      </c>
      <c r="H7">
        <f>ROUND(E7-G7,9)=0</f>
        <v/>
      </c>
      <c r="I7">
        <f>(B7-C7)/D7</f>
        <v/>
      </c>
      <c r="J7" t="n">
        <v>0.01149425287356332</v>
      </c>
      <c r="K7" t="inlineStr">
        <is>
          <t>strong</t>
        </is>
      </c>
      <c r="L7" t="inlineStr"/>
    </row>
    <row r="8">
      <c r="A8" t="inlineStr">
        <is>
          <t>Apel-Blix Grimaldi</t>
        </is>
      </c>
      <c r="B8" t="n">
        <v>1</v>
      </c>
      <c r="C8" t="n">
        <v>0</v>
      </c>
      <c r="D8" t="n">
        <v>87</v>
      </c>
      <c r="E8">
        <f>IF(B8+C8=0,0,(B8-C8)/(B8+C8))</f>
        <v/>
      </c>
      <c r="F8" t="n">
        <v>2</v>
      </c>
      <c r="G8">
        <f>F8-1</f>
        <v/>
      </c>
      <c r="H8">
        <f>ROUND(E8-G8,9)=0</f>
        <v/>
      </c>
      <c r="I8">
        <f>(B8-C8)/D8</f>
        <v/>
      </c>
      <c r="J8" t="n">
        <v>0.01149425287356332</v>
      </c>
      <c r="K8" t="inlineStr">
        <is>
          <t>strong</t>
        </is>
      </c>
      <c r="L8" t="inlineStr"/>
    </row>
    <row r="9"/>
    <row r="10">
      <c r="A10" s="3" t="inlineStr">
        <is>
          <t>Transformers (sentences, tau = 0.7)</t>
        </is>
      </c>
    </row>
    <row r="11">
      <c r="A11" s="3" t="inlineStr">
        <is>
          <t>Model</t>
        </is>
      </c>
      <c r="B11" t="inlineStr">
        <is>
          <t xml:space="preserve">N+ </t>
        </is>
      </c>
      <c r="C11" t="inlineStr">
        <is>
          <t>N-</t>
        </is>
      </c>
      <c r="D11" t="inlineStr">
        <is>
          <t>N0</t>
        </is>
      </c>
      <c r="E11" t="inlineStr">
        <is>
          <t>S (sentences)</t>
        </is>
      </c>
      <c r="F11" t="inlineStr">
        <is>
          <t>PosNeg = (N+-N-)/(N++N-)</t>
        </is>
      </c>
      <c r="G11" t="inlineStr">
        <is>
          <t>All-Sentences = (N+-N-)/S</t>
        </is>
      </c>
      <c r="H11" t="inlineStr">
        <is>
          <t>Stored PosNeg</t>
        </is>
      </c>
      <c r="I11" t="inlineStr">
        <is>
          <t>Stored All-Sentences</t>
        </is>
      </c>
      <c r="J11" t="inlineStr">
        <is>
          <t>Check</t>
        </is>
      </c>
    </row>
    <row r="12">
      <c r="A12" t="inlineStr">
        <is>
          <t>CentralBankRoBERTa</t>
        </is>
      </c>
      <c r="B12">
        <f>COUNTIF(Sentences!AD2:AD9,1)</f>
        <v/>
      </c>
      <c r="C12">
        <f>COUNTIF(Sentences!AD2:AD9,-1)</f>
        <v/>
      </c>
      <c r="D12">
        <f>COUNTIFS(Sentences!AD2:AD9,0,Sentences!AC2:AC9,"&lt;&gt;none")</f>
        <v/>
      </c>
      <c r="E12" t="n">
        <v>8</v>
      </c>
      <c r="F12">
        <f>IF(B12+C12=0,"undefined",(B12-C12)/(B12+C12))</f>
        <v/>
      </c>
      <c r="G12">
        <f>(B12-C12)/E12</f>
        <v/>
      </c>
      <c r="H12" t="n">
        <v>0</v>
      </c>
      <c r="I12" t="n">
        <v>0</v>
      </c>
      <c r="J12">
        <f>ROUND(G12-I12,9)=0</f>
        <v/>
      </c>
    </row>
    <row r="13">
      <c r="A13" t="inlineStr">
        <is>
          <t>FinBERT</t>
        </is>
      </c>
      <c r="B13">
        <f>COUNTIF(Sentences!AI2:AI9,1)</f>
        <v/>
      </c>
      <c r="C13">
        <f>COUNTIF(Sentences!AI2:AI9,-1)</f>
        <v/>
      </c>
      <c r="D13">
        <f>COUNTIFS(Sentences!AI2:AI9,0,Sentences!AH2:AH9,"&lt;&gt;none")</f>
        <v/>
      </c>
      <c r="E13" t="n">
        <v>8</v>
      </c>
      <c r="F13">
        <f>IF(B13+C13=0,"undefined",(B13-C13)/(B13+C13))</f>
        <v/>
      </c>
      <c r="G13">
        <f>(B13-C13)/E13</f>
        <v/>
      </c>
      <c r="H13" t="n">
        <v>0.3333333333333333</v>
      </c>
      <c r="I13" t="n">
        <v>0.125</v>
      </c>
      <c r="J13">
        <f>ROUND(G13-I13,9)=0</f>
        <v/>
      </c>
    </row>
    <row r="14">
      <c r="A14" t="inlineStr">
        <is>
          <t>FOMC-RoBERTa</t>
        </is>
      </c>
      <c r="B14">
        <f>COUNTIF(Sentences!AN2:AN9,1)</f>
        <v/>
      </c>
      <c r="C14">
        <f>COUNTIF(Sentences!AN2:AN9,-1)</f>
        <v/>
      </c>
      <c r="D14">
        <f>COUNTIFS(Sentences!AN2:AN9,0,Sentences!AM2:AM9,"&lt;&gt;none")</f>
        <v/>
      </c>
      <c r="E14" t="n">
        <v>8</v>
      </c>
      <c r="F14">
        <f>IF(B14+C14=0,"undefined",(B14-C14)/(B14+C14))</f>
        <v/>
      </c>
      <c r="G14">
        <f>(B14-C14)/E14</f>
        <v/>
      </c>
      <c r="H14" t="n">
        <v>-1</v>
      </c>
      <c r="I14" t="n">
        <v>-0.375</v>
      </c>
      <c r="J14">
        <f>ROUND(G14-I14,9)=0</f>
        <v/>
      </c>
    </row>
    <row r="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50" customWidth="1" min="1" max="1"/>
  </cols>
  <sheetData>
    <row r="1">
      <c r="A1" t="inlineStr">
        <is>
          <t>Statement: FOMC, 2020-03-03 (id_text 190), 8 sentences of at least 20 characters.</t>
        </is>
      </c>
    </row>
    <row r="2">
      <c r="A2" t="inlineStr">
        <is>
          <t>Sentences come from re-segmenting 2_clean text; transformer probabilities are the cached 51-bank run, aligned row for row.</t>
        </is>
      </c>
    </row>
    <row r="3">
      <c r="A3" t="inlineStr">
        <is>
          <t>Dictionary matches use the package tokenizer (lower-case, alphabetic tokens); Bennani-Neuenkirch and Apel-Blix Grimaldi match Porter stems.</t>
        </is>
      </c>
    </row>
    <row r="4">
      <c r="A4" t="inlineStr">
        <is>
          <t>The document score counts matches on the whole text; the sentence sums can differ slightly because sentences under the length floor are dropped.</t>
        </is>
      </c>
    </row>
    <row r="5">
      <c r="A5" t="inlineStr">
        <is>
          <t>A sentence counts toward a class only if that class probability &gt;= tau; column 'd' is the class direction (+1, 0, -1), 0 when nothing clears tau.</t>
        </is>
      </c>
    </row>
    <row r="6">
      <c r="A6" t="inlineStr">
        <is>
          <t>FOMC-RoBERTa: LABEL_0 dovish (-1), LABEL_1 hawkish (+1), LABEL_2 neutral (0).</t>
        </is>
      </c>
    </row>
    <row r="7">
      <c r="A7" t="inlineStr">
        <is>
          <t>The 'Check' columns compare the Excel formula with the value stored in panel_sentiment_all.parquet.gzip.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2026-09-28T02:40:42Z</dcterms:created>
  <dcterms:modified xsi:type="dcterms:W3CDTF">2026-09-28T02:40:42Z</dcterms:modified>
</cp:coreProperties>
</file>